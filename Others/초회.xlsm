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Excel/"/>
    </mc:Choice>
  </mc:AlternateContent>
  <xr:revisionPtr revIDLastSave="1083" documentId="8_{4A497ACA-5C2D-4851-A1BD-FF4C4F8BD606}" xr6:coauthVersionLast="47" xr6:coauthVersionMax="47" xr10:uidLastSave="{BF5E23CD-93C8-4181-9379-2B577B73615E}"/>
  <bookViews>
    <workbookView xWindow="4590" yWindow="24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s="1"/>
  <c r="J3" i="1" l="1"/>
  <c r="J5" i="1" s="1"/>
  <c r="J14" i="1"/>
  <c r="J4" i="1" l="1"/>
  <c r="J15" i="1"/>
  <c r="J16" i="1" l="1"/>
  <c r="J17" i="1" s="1"/>
  <c r="J8" i="1" s="1"/>
  <c r="J9" i="1" l="1"/>
  <c r="K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<sst xmlns="http://schemas.openxmlformats.org/spreadsheetml/2006/main" count="27" uniqueCount="16">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</sst>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3" formatCode="* 0\ &quot;뽑&quot;\ "/>
    <numFmt numFmtId="184" formatCode="#,##0\ &quot;개&quot;\ "/>
    <numFmt numFmtId="185" formatCode="#,##0\ &quot;뽑&quot;\ "/>
    <numFmt numFmtId="186" formatCode="\ 0\ &quot;번&quot;\ "/>
    <numFmt numFmtId="189" formatCode="#,##0_);[Red]\(#,##0\)"/>
  </numFmts>
  <fonts count="10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5" fillId="0" borderId="0" xfId="0" applyFont="1">
      <alignment vertical="center"/>
    </xf>
    <xf numFmtId="177" fontId="0" fillId="0" borderId="0" xfId="0" applyNumberFormat="1" applyAlignment="1">
      <alignment horizontal="right" vertical="center"/>
    </xf>
    <xf numFmtId="41" fontId="0" fillId="0" borderId="0" xfId="1" applyFont="1" applyAlignment="1">
      <alignment vertical="center" shrinkToFit="1"/>
    </xf>
    <xf numFmtId="176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6" fontId="0" fillId="0" borderId="5" xfId="0" applyNumberFormat="1" applyBorder="1">
      <alignment vertical="center"/>
    </xf>
    <xf numFmtId="183" fontId="0" fillId="0" borderId="0" xfId="0" applyNumberFormat="1" applyAlignment="1">
      <alignment horizontal="right" vertical="center"/>
    </xf>
    <xf numFmtId="181" fontId="4" fillId="0" borderId="0" xfId="0" applyNumberFormat="1" applyFon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/>
    </xf>
    <xf numFmtId="0" fontId="0" fillId="0" borderId="0" xfId="0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76" fontId="0" fillId="0" borderId="7" xfId="0" applyNumberFormat="1" applyBorder="1">
      <alignment vertical="center"/>
    </xf>
    <xf numFmtId="0" fontId="0" fillId="0" borderId="8" xfId="0" applyBorder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/>
    </xf>
    <xf numFmtId="183" fontId="0" fillId="0" borderId="8" xfId="0" applyNumberFormat="1" applyBorder="1" applyAlignment="1">
      <alignment horizontal="right" vertical="center"/>
    </xf>
    <xf numFmtId="181" fontId="4" fillId="0" borderId="8" xfId="0" applyNumberFormat="1" applyFont="1" applyBorder="1" applyAlignment="1">
      <alignment horizontal="right" vertical="center" shrinkToFit="1"/>
    </xf>
    <xf numFmtId="180" fontId="0" fillId="0" borderId="9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176" fontId="0" fillId="0" borderId="4" xfId="0" applyNumberFormat="1" applyBorder="1">
      <alignment vertical="center"/>
    </xf>
    <xf numFmtId="0" fontId="7" fillId="0" borderId="5" xfId="0" applyFont="1" applyBorder="1" applyAlignment="1">
      <alignment horizontal="center" vertical="center"/>
    </xf>
    <xf numFmtId="181" fontId="4" fillId="0" borderId="6" xfId="0" applyNumberFormat="1" applyFont="1" applyBorder="1" applyAlignment="1">
      <alignment horizontal="right" vertical="center" shrinkToFit="1"/>
    </xf>
    <xf numFmtId="0" fontId="0" fillId="0" borderId="5" xfId="0" applyBorder="1" applyAlignment="1">
      <alignment horizontal="center" vertical="center"/>
    </xf>
    <xf numFmtId="184" fontId="0" fillId="0" borderId="6" xfId="1" applyNumberFormat="1" applyFont="1" applyBorder="1" applyAlignment="1">
      <alignment horizontal="right" vertical="center" shrinkToFit="1"/>
    </xf>
    <xf numFmtId="0" fontId="0" fillId="0" borderId="7" xfId="0" applyBorder="1" applyAlignment="1">
      <alignment horizontal="center" vertical="center"/>
    </xf>
    <xf numFmtId="185" fontId="0" fillId="0" borderId="9" xfId="0" applyNumberFormat="1" applyBorder="1" applyAlignment="1">
      <alignment horizontal="right" vertical="center" shrinkToFit="1"/>
    </xf>
    <xf numFmtId="0" fontId="7" fillId="0" borderId="7" xfId="0" applyFont="1" applyBorder="1" applyAlignment="1">
      <alignment horizontal="center" vertical="center"/>
    </xf>
    <xf numFmtId="176" fontId="0" fillId="0" borderId="4" xfId="0" applyNumberFormat="1" applyBorder="1" applyAlignment="1">
      <alignment vertical="center" shrinkToFit="1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8" fillId="0" borderId="0" xfId="0" applyFont="1" applyAlignment="1">
      <alignment horizontal="center" vertical="center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77" fontId="3" fillId="0" borderId="0" xfId="0" applyNumberFormat="1" applyFont="1" applyAlignment="1">
      <alignment horizontal="right" vertical="center"/>
    </xf>
    <xf numFmtId="184" fontId="0" fillId="0" borderId="1" xfId="0" applyNumberFormat="1" applyBorder="1">
      <alignment vertical="center"/>
    </xf>
    <xf numFmtId="186" fontId="8" fillId="0" borderId="6" xfId="0" applyNumberFormat="1" applyFont="1" applyBorder="1" applyAlignment="1">
      <alignment horizontal="right" vertical="center"/>
    </xf>
    <xf numFmtId="186" fontId="8" fillId="0" borderId="9" xfId="0" applyNumberFormat="1" applyFont="1" applyBorder="1" applyAlignment="1">
      <alignment horizontal="right" vertical="center"/>
    </xf>
    <xf numFmtId="0" fontId="5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76" fontId="8" fillId="0" borderId="12" xfId="0" applyNumberFormat="1" applyFont="1" applyBorder="1" applyAlignment="1">
      <alignment vertical="center" shrinkToFit="1"/>
    </xf>
    <xf numFmtId="176" fontId="8" fillId="0" borderId="13" xfId="0" applyNumberFormat="1" applyFont="1" applyBorder="1" applyAlignment="1">
      <alignment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176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77" fontId="9" fillId="0" borderId="0" xfId="0" applyNumberFormat="1" applyFont="1" applyBorder="1" applyAlignment="1">
      <alignment horizontal="center" vertical="center"/>
    </xf>
    <xf numFmtId="178" fontId="9" fillId="0" borderId="0" xfId="0" applyNumberFormat="1" applyFont="1" applyBorder="1" applyAlignment="1">
      <alignment horizontal="center" vertical="center"/>
    </xf>
    <xf numFmtId="176" fontId="9" fillId="0" borderId="0" xfId="0" applyNumberFormat="1" applyFont="1" applyBorder="1">
      <alignment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83" fontId="9" fillId="0" borderId="0" xfId="0" applyNumberFormat="1" applyFont="1" applyBorder="1" applyAlignment="1">
      <alignment horizontal="right" vertical="center"/>
    </xf>
    <xf numFmtId="181" fontId="9" fillId="0" borderId="0" xfId="0" applyNumberFormat="1" applyFont="1" applyBorder="1" applyAlignment="1">
      <alignment horizontal="right" vertical="center" shrinkToFit="1"/>
    </xf>
    <xf numFmtId="180" fontId="9" fillId="0" borderId="0" xfId="0" applyNumberFormat="1" applyFont="1" applyBorder="1" applyAlignment="1">
      <alignment horizontal="right" vertical="center"/>
    </xf>
    <xf numFmtId="0" fontId="9" fillId="0" borderId="0" xfId="0" applyFont="1" applyBorder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89" fontId="0" fillId="0" borderId="12" xfId="0" applyNumberFormat="1" applyBorder="1">
      <alignment vertical="center"/>
    </xf>
    <xf numFmtId="189" fontId="0" fillId="0" borderId="12" xfId="0" quotePrefix="1" applyNumberFormat="1" applyBorder="1">
      <alignment vertical="center"/>
    </xf>
    <xf numFmtId="189" fontId="0" fillId="0" borderId="15" xfId="1" applyNumberFormat="1" applyFont="1" applyBorder="1" applyAlignment="1">
      <alignment vertical="center" shrinkToFit="1"/>
    </xf>
  </cellXfs>
  <cellStyles count="2">
    <cellStyle name="쉼표 [0]" xfId="1" builtinId="6"/>
    <cellStyle name="표준" xfId="0" builtinId="0"/>
  </cellStyles>
  <dxfs count="4">
    <dxf>
      <numFmt numFmtId="188" formatCode="* 0"/>
    </dxf>
    <dxf>
      <numFmt numFmtId="188" formatCode="* 0"/>
    </dxf>
    <dxf>
      <numFmt numFmtId="187" formatCode="&quot;유&quot;&quot;효&quot;&quot;하&quot;&quot;지&quot;\ &quot;않&quot;&quot;음&quot;\ "/>
    </dxf>
    <dxf>
      <numFmt numFmtId="188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에산 입력 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B1:M17"/>
  <sheetViews>
    <sheetView tabSelected="1" workbookViewId="0">
      <selection activeCell="L9" sqref="L9"/>
    </sheetView>
  </sheetViews>
  <sheetFormatPr defaultRowHeight="15"/>
  <cols>
    <col min="2" max="2" width="12" style="2" customWidth="1"/>
    <col min="4" max="4" width="8.88671875" style="3"/>
    <col min="5" max="5" width="8.88671875" style="5"/>
    <col min="6" max="7" width="9.88671875" customWidth="1"/>
    <col min="9" max="9" width="10.6640625" customWidth="1"/>
    <col min="10" max="10" width="12.77734375" customWidth="1"/>
    <col min="12" max="12" width="14.33203125" customWidth="1"/>
    <col min="13" max="13" width="3.77734375" customWidth="1"/>
    <col min="14" max="14" width="8.88671875" customWidth="1"/>
  </cols>
  <sheetData>
    <row r="1" spans="2:13">
      <c r="E1" s="4"/>
    </row>
    <row r="2" spans="2:13" ht="15.75" thickBot="1">
      <c r="E2" s="4"/>
    </row>
    <row r="3" spans="2:13" s="1" customFormat="1">
      <c r="B3" s="9" t="s">
        <v>1</v>
      </c>
      <c r="C3" s="10" t="s">
        <v>0</v>
      </c>
      <c r="D3" s="11" t="s">
        <v>2</v>
      </c>
      <c r="E3" s="12" t="s">
        <v>3</v>
      </c>
      <c r="F3" s="10" t="s">
        <v>4</v>
      </c>
      <c r="G3" s="13" t="s">
        <v>5</v>
      </c>
      <c r="I3" s="25" t="s">
        <v>6</v>
      </c>
      <c r="J3" s="26">
        <f>INDEX($B$4:$B$9,MATCH(MAX($F$4:$F$9),$F$4:$F$9,0))</f>
        <v>119000</v>
      </c>
      <c r="K3" s="37"/>
      <c r="L3" s="44" t="s">
        <v>8</v>
      </c>
      <c r="M3" s="45"/>
    </row>
    <row r="4" spans="2:13">
      <c r="B4" s="14">
        <v>1200</v>
      </c>
      <c r="D4" s="7">
        <f>IF($C4,성옥표!$D4*2, 성옥표!$B4)</f>
        <v>60</v>
      </c>
      <c r="E4" s="15">
        <f t="shared" ref="E4:E9" si="0">QUOTIENT(D4,160)</f>
        <v>0</v>
      </c>
      <c r="F4" s="16">
        <f t="shared" ref="F4:F9" si="1">D4/B4-QUOTIENT(D4/B4,1)</f>
        <v>0.05</v>
      </c>
      <c r="G4" s="17">
        <f t="shared" ref="G4:G9" si="2">B4/D4</f>
        <v>20</v>
      </c>
      <c r="I4" s="27" t="s">
        <v>4</v>
      </c>
      <c r="J4" s="28">
        <f>VLOOKUP($J$3,$B$4:$G$9,5,0)</f>
        <v>6.7899159663865546E-2</v>
      </c>
      <c r="L4" s="46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47"/>
    </row>
    <row r="5" spans="2:13" ht="15.75" thickBot="1">
      <c r="B5" s="14">
        <v>5900</v>
      </c>
      <c r="C5" s="18" t="b">
        <v>0</v>
      </c>
      <c r="D5" s="7">
        <f>IF($C5,성옥표!$D5*2, 성옥표!$B5)</f>
        <v>330</v>
      </c>
      <c r="E5" s="15">
        <f t="shared" si="0"/>
        <v>2</v>
      </c>
      <c r="F5" s="16">
        <f t="shared" si="1"/>
        <v>5.5932203389830508E-2</v>
      </c>
      <c r="G5" s="17">
        <f t="shared" si="2"/>
        <v>17.878787878787879</v>
      </c>
      <c r="I5" s="33" t="s">
        <v>5</v>
      </c>
      <c r="J5" s="24">
        <f>VLOOKUP($J$3,$B$4:$G$9,6,0)</f>
        <v>14.727722772277227</v>
      </c>
      <c r="L5" s="48"/>
      <c r="M5" s="49"/>
    </row>
    <row r="6" spans="2:13" ht="15.75" thickBot="1">
      <c r="B6" s="14">
        <v>19000</v>
      </c>
      <c r="C6" s="18" t="b">
        <v>0</v>
      </c>
      <c r="D6" s="7">
        <f>IF($C6,성옥표!$D6*2, 성옥표!$B6)</f>
        <v>980</v>
      </c>
      <c r="E6" s="15">
        <f t="shared" si="0"/>
        <v>6</v>
      </c>
      <c r="F6" s="16">
        <f t="shared" si="1"/>
        <v>5.1578947368421051E-2</v>
      </c>
      <c r="G6" s="17">
        <f t="shared" si="2"/>
        <v>19.387755102040817</v>
      </c>
      <c r="L6" s="61"/>
      <c r="M6" s="35" t="s">
        <v>11</v>
      </c>
    </row>
    <row r="7" spans="2:13">
      <c r="B7" s="14">
        <v>37000</v>
      </c>
      <c r="C7" s="18" t="b">
        <v>0</v>
      </c>
      <c r="D7" s="7">
        <f>IF($C7,성옥표!$D7*2, 성옥표!$B7)</f>
        <v>2240</v>
      </c>
      <c r="E7" s="15">
        <f t="shared" si="0"/>
        <v>14</v>
      </c>
      <c r="F7" s="16">
        <f t="shared" si="1"/>
        <v>6.054054054054054E-2</v>
      </c>
      <c r="G7" s="17">
        <f t="shared" si="2"/>
        <v>16.517857142857142</v>
      </c>
      <c r="I7" s="25" t="s">
        <v>7</v>
      </c>
      <c r="J7" s="34">
        <f>L4</f>
        <v>0</v>
      </c>
      <c r="L7" s="61"/>
      <c r="M7" s="35" t="s">
        <v>10</v>
      </c>
    </row>
    <row r="8" spans="2:13" ht="15.75" thickBot="1">
      <c r="B8" s="14">
        <v>65000</v>
      </c>
      <c r="C8" s="18" t="b">
        <v>0</v>
      </c>
      <c r="D8" s="7">
        <f>IF($C8,성옥표!$D8*2, 성옥표!$B8)</f>
        <v>3880</v>
      </c>
      <c r="E8" s="15">
        <f t="shared" si="0"/>
        <v>24</v>
      </c>
      <c r="F8" s="16">
        <f t="shared" si="1"/>
        <v>5.969230769230769E-2</v>
      </c>
      <c r="G8" s="17">
        <f t="shared" si="2"/>
        <v>16.75257731958763</v>
      </c>
      <c r="I8" s="29" t="s">
        <v>2</v>
      </c>
      <c r="J8" s="30">
        <f>SUMPRODUCT($H$12:$H$17,$J$12:$J$17)</f>
        <v>0</v>
      </c>
      <c r="L8" s="62"/>
      <c r="M8" s="35" t="s">
        <v>9</v>
      </c>
    </row>
    <row r="9" spans="2:13" ht="15.75" thickBot="1">
      <c r="B9" s="19">
        <v>119000</v>
      </c>
      <c r="C9" s="20" t="b">
        <v>0</v>
      </c>
      <c r="D9" s="21">
        <f>IF($C9,성옥표!$D9*2, 성옥표!$B9)</f>
        <v>8080</v>
      </c>
      <c r="E9" s="22">
        <f t="shared" si="0"/>
        <v>50</v>
      </c>
      <c r="F9" s="23">
        <f t="shared" si="1"/>
        <v>6.7899159663865546E-2</v>
      </c>
      <c r="G9" s="24">
        <f t="shared" si="2"/>
        <v>14.727722772277227</v>
      </c>
      <c r="I9" s="31" t="s">
        <v>3</v>
      </c>
      <c r="J9" s="32">
        <f>QUOTIENT($J$8,160)</f>
        <v>0</v>
      </c>
      <c r="K9" s="41">
        <f>MOD($J$8,160)</f>
        <v>0</v>
      </c>
      <c r="L9" s="63"/>
      <c r="M9" s="36"/>
    </row>
    <row r="10" spans="2:13" ht="15.75" thickBot="1">
      <c r="K10" s="7"/>
    </row>
    <row r="11" spans="2:13">
      <c r="B11" s="50" t="s">
        <v>1</v>
      </c>
      <c r="C11" s="51" t="s">
        <v>0</v>
      </c>
      <c r="D11" s="52" t="s">
        <v>2</v>
      </c>
      <c r="E11" s="53" t="s">
        <v>3</v>
      </c>
      <c r="F11" s="51" t="s">
        <v>4</v>
      </c>
      <c r="G11" s="51" t="s">
        <v>5</v>
      </c>
      <c r="I11" s="25" t="s">
        <v>1</v>
      </c>
      <c r="J11" s="13" t="s">
        <v>12</v>
      </c>
      <c r="K11" s="7"/>
    </row>
    <row r="12" spans="2:13">
      <c r="B12" s="54">
        <v>1200</v>
      </c>
      <c r="C12" s="55"/>
      <c r="D12" s="56">
        <v>60</v>
      </c>
      <c r="E12" s="57">
        <v>0</v>
      </c>
      <c r="F12" s="58">
        <v>0.05</v>
      </c>
      <c r="G12" s="59">
        <v>20</v>
      </c>
      <c r="H12" s="40">
        <f>IF($C$9,성옥표!$D$9*2, 성옥표!$B$9)</f>
        <v>8080</v>
      </c>
      <c r="I12" s="38">
        <v>119000</v>
      </c>
      <c r="J12" s="42">
        <f>QUOTIENT($J$7, $B9)</f>
        <v>0</v>
      </c>
      <c r="K12" s="7"/>
    </row>
    <row r="13" spans="2:13">
      <c r="B13" s="54">
        <v>5900</v>
      </c>
      <c r="C13" s="60" t="b">
        <v>0</v>
      </c>
      <c r="D13" s="56">
        <v>330</v>
      </c>
      <c r="E13" s="57">
        <v>2</v>
      </c>
      <c r="F13" s="58">
        <v>5.5932203389830508E-2</v>
      </c>
      <c r="G13" s="59">
        <v>17.878787878787879</v>
      </c>
      <c r="H13" s="40">
        <f>IF($C$8,성옥표!$D$8*2, 성옥표!$B$8)</f>
        <v>3880</v>
      </c>
      <c r="I13" s="38">
        <v>65000</v>
      </c>
      <c r="J13" s="42">
        <f>QUOTIENT($J$7-$J$12*$B$9, B8)</f>
        <v>0</v>
      </c>
      <c r="L13" s="8"/>
    </row>
    <row r="14" spans="2:13">
      <c r="B14" s="54">
        <v>19000</v>
      </c>
      <c r="C14" s="60" t="b">
        <v>0</v>
      </c>
      <c r="D14" s="56">
        <v>980</v>
      </c>
      <c r="E14" s="57">
        <v>6</v>
      </c>
      <c r="F14" s="58">
        <v>5.1578947368421051E-2</v>
      </c>
      <c r="G14" s="59">
        <v>19.387755102040817</v>
      </c>
      <c r="H14" s="40">
        <f>IF($C$7,성옥표!$D$7*2, 성옥표!$B$7)</f>
        <v>2240</v>
      </c>
      <c r="I14" s="38">
        <v>37000</v>
      </c>
      <c r="J14" s="42">
        <f>QUOTIENT($J$7-$J$12*$B$9-$J$13*$B$8, B7)</f>
        <v>0</v>
      </c>
    </row>
    <row r="15" spans="2:13">
      <c r="B15" s="54">
        <v>37000</v>
      </c>
      <c r="C15" s="60" t="b">
        <v>0</v>
      </c>
      <c r="D15" s="56">
        <v>2240</v>
      </c>
      <c r="E15" s="57">
        <v>14</v>
      </c>
      <c r="F15" s="58">
        <v>6.054054054054054E-2</v>
      </c>
      <c r="G15" s="59">
        <v>16.517857142857142</v>
      </c>
      <c r="H15" s="40">
        <f>IF($C$6,성옥표!$D$6*2, 성옥표!$B$6)</f>
        <v>980</v>
      </c>
      <c r="I15" s="38">
        <v>19000</v>
      </c>
      <c r="J15" s="42">
        <f>QUOTIENT($J$7-$J$12*$B$9-$J$13*$B$8-$J$14*$B$7, B6)</f>
        <v>0</v>
      </c>
    </row>
    <row r="16" spans="2:13">
      <c r="B16" s="54">
        <v>65000</v>
      </c>
      <c r="C16" s="60" t="b">
        <v>0</v>
      </c>
      <c r="D16" s="56">
        <v>3880</v>
      </c>
      <c r="E16" s="57">
        <v>24</v>
      </c>
      <c r="F16" s="58">
        <v>5.969230769230769E-2</v>
      </c>
      <c r="G16" s="59">
        <v>16.75257731958763</v>
      </c>
      <c r="H16" s="40">
        <f>IF($C$5,성옥표!$D$5*2, 성옥표!$B$5)</f>
        <v>330</v>
      </c>
      <c r="I16" s="38">
        <v>5900</v>
      </c>
      <c r="J16" s="42">
        <f>QUOTIENT($J$7-$J$12*$B$9-$J$13*$B$8-$J$14*$B$7-$J$15*$B$6, B5)</f>
        <v>0</v>
      </c>
    </row>
    <row r="17" spans="2:10" ht="15.75" thickBot="1">
      <c r="B17" s="54">
        <v>119000</v>
      </c>
      <c r="C17" s="60" t="b">
        <v>0</v>
      </c>
      <c r="D17" s="56">
        <v>8080</v>
      </c>
      <c r="E17" s="57">
        <v>50</v>
      </c>
      <c r="F17" s="58">
        <v>6.7899159663865546E-2</v>
      </c>
      <c r="G17" s="59">
        <v>14.727722772277227</v>
      </c>
      <c r="H17" s="40">
        <f>IF($C$4,성옥표!$D$4*2, 성옥표!$B$4)</f>
        <v>60</v>
      </c>
      <c r="I17" s="39">
        <v>1200</v>
      </c>
      <c r="J17" s="43">
        <f>QUOTIENT($J$7-$J$12*$B$9-$J$13*$B$8-$J$14*$B$7-$J$15*$B$6-$J$16*$B$5, B4)</f>
        <v>0</v>
      </c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3" priority="3">
      <formula>QUOTIENT(G4, 1)=0</formula>
    </cfRule>
  </conditionalFormatting>
  <conditionalFormatting sqref="L4:M4">
    <cfRule type="expression" dxfId="2" priority="2">
      <formula>L4=0</formula>
    </cfRule>
  </conditionalFormatting>
  <conditionalFormatting sqref="G12">
    <cfRule type="expression" dxfId="0" priority="1">
      <formula>QUOTIENT(G12, 1)=0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/>
  <cols>
    <col min="1" max="1" width="7.21875" customWidth="1"/>
  </cols>
  <sheetData>
    <row r="3" spans="1:4">
      <c r="B3" t="s">
        <v>13</v>
      </c>
      <c r="C3" t="s">
        <v>14</v>
      </c>
      <c r="D3" t="s">
        <v>15</v>
      </c>
    </row>
    <row r="4" spans="1:4">
      <c r="A4" s="6">
        <v>1200</v>
      </c>
      <c r="B4">
        <f>D4+C4</f>
        <v>60</v>
      </c>
      <c r="D4">
        <v>60</v>
      </c>
    </row>
    <row r="5" spans="1:4">
      <c r="A5" s="6">
        <v>5900</v>
      </c>
      <c r="B5">
        <f t="shared" ref="B5:B9" si="0">D5+C5</f>
        <v>330</v>
      </c>
      <c r="C5">
        <v>30</v>
      </c>
      <c r="D5">
        <v>300</v>
      </c>
    </row>
    <row r="6" spans="1:4">
      <c r="A6" s="6">
        <v>19000</v>
      </c>
      <c r="B6">
        <f t="shared" si="0"/>
        <v>980</v>
      </c>
      <c r="D6">
        <v>980</v>
      </c>
    </row>
    <row r="7" spans="1:4">
      <c r="A7" s="6">
        <v>37000</v>
      </c>
      <c r="B7">
        <f t="shared" si="0"/>
        <v>2240</v>
      </c>
      <c r="C7">
        <v>260</v>
      </c>
      <c r="D7">
        <v>1980</v>
      </c>
    </row>
    <row r="8" spans="1:4">
      <c r="A8" s="6">
        <v>65000</v>
      </c>
      <c r="B8">
        <f t="shared" si="0"/>
        <v>3880</v>
      </c>
      <c r="C8">
        <v>600</v>
      </c>
      <c r="D8">
        <v>3280</v>
      </c>
    </row>
    <row r="9" spans="1:4">
      <c r="A9" s="6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2026-01-19T07:34:34Z</dcterms:modified>
</cp:coreProperties>
</file>