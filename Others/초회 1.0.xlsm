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현재_통합_문n�_9_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766fc3651a400904/문서/HTML/abc/subject/Others/"/>
    </mc:Choice>
  </mc:AlternateContent>
  <xr:revisionPtr revIDLastSave="1829" documentId="8_{4A497ACA-5C2D-4851-A1BD-FF4C4F8BD606}" xr6:coauthVersionLast="47" xr6:coauthVersionMax="47" xr10:uidLastSave="{BEF571D1-6BD6-4EAD-B96E-647BAF4FDB24}"/>
  <bookViews>
    <workbookView xWindow="4680" yWindow="300" windowWidth="28800" windowHeight="15345" xr2:uid="{A091230A-7A58-4DBC-8740-6407E5FAA50A}"/>
  </bookViews>
  <sheets>
    <sheet name="Sheet1" sheetId="1" r:id="rId1"/>
    <sheet name="성옥표" sheetId="2" r:id="rId2"/>
  </sheets>
  <definedNames>
    <definedName name="_xleta.MIN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4" i="1" l="1" a="1"/>
  <c r="L4" i="1" s="1"/>
  <c r="J7" i="1" s="1"/>
  <c r="D5" i="1"/>
  <c r="G5" i="1" s="1"/>
  <c r="D6" i="1"/>
  <c r="G6" i="1" s="1"/>
  <c r="D7" i="1"/>
  <c r="F7" i="1" s="1"/>
  <c r="D8" i="1"/>
  <c r="E8" i="1" s="1"/>
  <c r="D9" i="1"/>
  <c r="E9" i="1" s="1"/>
  <c r="D4" i="1"/>
  <c r="G4" i="1" s="1"/>
  <c r="H17" i="1"/>
  <c r="H16" i="1"/>
  <c r="H15" i="1"/>
  <c r="H14" i="1"/>
  <c r="H13" i="1"/>
  <c r="H12" i="1"/>
  <c r="B5" i="2"/>
  <c r="B6" i="2"/>
  <c r="B7" i="2"/>
  <c r="B8" i="2"/>
  <c r="B9" i="2"/>
  <c r="B4" i="2"/>
  <c r="E4" i="1" l="1"/>
  <c r="F4" i="1"/>
  <c r="E7" i="1"/>
  <c r="E5" i="1"/>
  <c r="F5" i="1"/>
  <c r="G7" i="1"/>
  <c r="F8" i="1"/>
  <c r="E6" i="1"/>
  <c r="F6" i="1"/>
  <c r="F9" i="1"/>
  <c r="G8" i="1"/>
  <c r="G9" i="1"/>
  <c r="J12" i="1"/>
  <c r="J13" i="1" l="1"/>
  <c r="J14" i="1" s="1"/>
  <c r="J3" i="1"/>
  <c r="J5" i="1" s="1"/>
  <c r="J4" i="1" l="1"/>
  <c r="J15" i="1"/>
  <c r="J16" i="1" l="1"/>
  <c r="J17" i="1" s="1"/>
  <c r="J8" i="1" s="1"/>
  <c r="J9" i="1" l="1"/>
  <c r="K9" i="1"/>
  <c r="P6" i="1" l="1"/>
  <c r="O6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<sst xmlns="http://schemas.openxmlformats.org/spreadsheetml/2006/main" count="30" uniqueCount="19">
  <si>
    <t>초회</t>
    <phoneticPr fontId="1" type="noConversion"/>
  </si>
  <si>
    <t>가격</t>
    <phoneticPr fontId="1" type="noConversion"/>
  </si>
  <si>
    <t>성옥</t>
    <phoneticPr fontId="1" type="noConversion"/>
  </si>
  <si>
    <t>뽑수</t>
    <phoneticPr fontId="1" type="noConversion"/>
  </si>
  <si>
    <t>1원당 성옥</t>
    <phoneticPr fontId="1" type="noConversion"/>
  </si>
  <si>
    <t>성옥당 가격</t>
    <phoneticPr fontId="1" type="noConversion"/>
  </si>
  <si>
    <t>최고 효율</t>
    <phoneticPr fontId="1" type="noConversion"/>
  </si>
  <si>
    <t>예산</t>
    <phoneticPr fontId="1" type="noConversion"/>
  </si>
  <si>
    <t>예산 입력기</t>
    <phoneticPr fontId="1" type="noConversion"/>
  </si>
  <si>
    <t>만</t>
    <phoneticPr fontId="1" type="noConversion"/>
  </si>
  <si>
    <t>억</t>
    <phoneticPr fontId="1" type="noConversion"/>
  </si>
  <si>
    <t>조</t>
    <phoneticPr fontId="1" type="noConversion"/>
  </si>
  <si>
    <t>횟수</t>
    <phoneticPr fontId="1" type="noConversion"/>
  </si>
  <si>
    <t>합산</t>
    <phoneticPr fontId="1" type="noConversion"/>
  </si>
  <si>
    <t>보너스</t>
    <phoneticPr fontId="1" type="noConversion"/>
  </si>
  <si>
    <t>원본</t>
    <phoneticPr fontId="1" type="noConversion"/>
  </si>
  <si>
    <t>캐릭터</t>
    <phoneticPr fontId="1" type="noConversion"/>
  </si>
  <si>
    <t>광추</t>
    <phoneticPr fontId="1" type="noConversion"/>
  </si>
  <si>
    <t>현재 성옥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</si>
</sst>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5">
    <numFmt numFmtId="41" formatCode="_-* #,##0_-;\-* #,##0_-;_-* &quot;-&quot;_-;_-@_-"/>
    <numFmt numFmtId="176" formatCode="\ &quot;₩&quot;* #,##0\ "/>
    <numFmt numFmtId="177" formatCode="\ General\ "/>
    <numFmt numFmtId="178" formatCode="#,##0\ &quot;뽑&quot;"/>
    <numFmt numFmtId="179" formatCode="* @\ "/>
    <numFmt numFmtId="180" formatCode="0.0#\ &quot;원&quot;\ "/>
    <numFmt numFmtId="181" formatCode="* 0.0###\ &quot;개&quot;\ "/>
    <numFmt numFmtId="182" formatCode="* 0\ &quot;뽑&quot;\ "/>
    <numFmt numFmtId="183" formatCode="#,##0\ &quot;개&quot;\ "/>
    <numFmt numFmtId="184" formatCode="#,##0\ &quot;뽑&quot;\ "/>
    <numFmt numFmtId="185" formatCode="\ 0\ &quot;번&quot;\ "/>
    <numFmt numFmtId="186" formatCode="#,##0_);[Red]\(#,##0\)"/>
    <numFmt numFmtId="187" formatCode="#,##0\ &quot;스&quot;&quot;택&quot;\ "/>
    <numFmt numFmtId="188" formatCode="0\ &quot;개&quot;\ "/>
    <numFmt numFmtId="189" formatCode="0\ &quot;스&quot;&quot;택&quot;\ &quot;변&quot;&quot;동&quot;"/>
  </numFmts>
  <fonts count="12" x14ac:knownFonts="1">
    <font>
      <sz val="11"/>
      <color theme="1"/>
      <name val="구름 산스 400"/>
      <family val="2"/>
      <charset val="129"/>
    </font>
    <font>
      <sz val="8"/>
      <name val="구름 산스 400"/>
      <family val="2"/>
      <charset val="129"/>
    </font>
    <font>
      <sz val="11"/>
      <color theme="1"/>
      <name val="구름 산스 400"/>
      <family val="2"/>
      <charset val="129"/>
    </font>
    <font>
      <sz val="11"/>
      <color theme="0"/>
      <name val="구름 산스 400"/>
      <family val="2"/>
      <charset val="129"/>
    </font>
    <font>
      <sz val="11"/>
      <color theme="1"/>
      <name val="구름 산스 400"/>
      <family val="3"/>
      <charset val="129"/>
    </font>
    <font>
      <sz val="10"/>
      <color theme="1"/>
      <name val="구름 산스 400"/>
      <family val="2"/>
      <charset val="129"/>
    </font>
    <font>
      <sz val="10"/>
      <color theme="1"/>
      <name val="구름 산스 400"/>
      <family val="3"/>
      <charset val="129"/>
    </font>
    <font>
      <sz val="9"/>
      <color theme="1"/>
      <name val="구름 산스 400"/>
      <family val="3"/>
      <charset val="129"/>
    </font>
    <font>
      <sz val="11"/>
      <name val="구름 산스 400"/>
      <family val="2"/>
      <charset val="129"/>
    </font>
    <font>
      <sz val="11"/>
      <color theme="0"/>
      <name val="구름 산스 400"/>
      <family val="3"/>
      <charset val="129"/>
    </font>
    <font>
      <sz val="9"/>
      <color theme="1"/>
      <name val="구름 산스 400"/>
      <family val="2"/>
      <charset val="129"/>
    </font>
    <font>
      <sz val="11"/>
      <color rgb="FF000000"/>
      <name val="구름 산스 400"/>
      <family val="3"/>
      <charset val="129"/>
    </font>
  </fonts>
  <fills count="2">
    <fill>
      <patternFill patternType="none"/>
    </fill>
    <fill>
      <patternFill patternType="gray125"/>
    </fill>
  </fills>
  <borders count="2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</cellStyleXfs>
  <cellXfs count="71">
    <xf numFmtId="0" fontId="0" fillId="0" borderId="0" xfId="0">
      <alignment vertical="center"/>
    </xf>
    <xf numFmtId="0" fontId="5" fillId="0" borderId="0" xfId="0" applyFont="1">
      <alignment vertical="center"/>
    </xf>
    <xf numFmtId="41" fontId="0" fillId="0" borderId="0" xfId="1" applyFont="1" applyAlignment="1">
      <alignment vertical="center" shrinkToFit="1"/>
    </xf>
    <xf numFmtId="181" fontId="4" fillId="0" borderId="0" xfId="0" applyNumberFormat="1" applyFont="1" applyAlignment="1">
      <alignment horizontal="right" vertical="center" shrinkToFit="1"/>
    </xf>
    <xf numFmtId="181" fontId="4" fillId="0" borderId="8" xfId="0" applyNumberFormat="1" applyFont="1" applyBorder="1" applyAlignment="1">
      <alignment horizontal="right" vertical="center" shrinkToFit="1"/>
    </xf>
    <xf numFmtId="181" fontId="4" fillId="0" borderId="6" xfId="0" applyNumberFormat="1" applyFont="1" applyBorder="1" applyAlignment="1">
      <alignment horizontal="right" vertical="center" shrinkToFit="1"/>
    </xf>
    <xf numFmtId="183" fontId="0" fillId="0" borderId="6" xfId="1" applyNumberFormat="1" applyFont="1" applyBorder="1" applyAlignment="1">
      <alignment horizontal="right" vertical="center" shrinkToFit="1"/>
    </xf>
    <xf numFmtId="184" fontId="0" fillId="0" borderId="9" xfId="0" applyNumberFormat="1" applyBorder="1" applyAlignment="1">
      <alignment horizontal="right" vertical="center" shrinkToFit="1"/>
    </xf>
    <xf numFmtId="176" fontId="0" fillId="0" borderId="4" xfId="0" applyNumberFormat="1" applyBorder="1" applyAlignment="1">
      <alignment vertical="center" shrinkToFit="1"/>
    </xf>
    <xf numFmtId="176" fontId="0" fillId="0" borderId="5" xfId="0" applyNumberFormat="1" applyBorder="1" applyAlignment="1">
      <alignment vertical="center" shrinkToFit="1"/>
    </xf>
    <xf numFmtId="176" fontId="0" fillId="0" borderId="7" xfId="0" applyNumberFormat="1" applyBorder="1" applyAlignment="1">
      <alignment vertical="center" shrinkToFit="1"/>
    </xf>
    <xf numFmtId="181" fontId="9" fillId="0" borderId="0" xfId="0" applyNumberFormat="1" applyFont="1" applyAlignment="1">
      <alignment horizontal="right" vertical="center" shrinkToFit="1"/>
    </xf>
    <xf numFmtId="186" fontId="0" fillId="0" borderId="14" xfId="1" applyNumberFormat="1" applyFont="1" applyBorder="1" applyAlignment="1">
      <alignment vertical="center" shrinkToFit="1"/>
    </xf>
    <xf numFmtId="176" fontId="0" fillId="0" borderId="0" xfId="0" applyNumberFormat="1" applyAlignment="1">
      <alignment vertical="center" shrinkToFit="1"/>
    </xf>
    <xf numFmtId="0" fontId="0" fillId="0" borderId="0" xfId="0" applyAlignment="1">
      <alignment vertical="center" shrinkToFit="1"/>
    </xf>
    <xf numFmtId="177" fontId="0" fillId="0" borderId="0" xfId="0" applyNumberFormat="1" applyAlignment="1">
      <alignment vertical="center" shrinkToFit="1"/>
    </xf>
    <xf numFmtId="178" fontId="0" fillId="0" borderId="0" xfId="0" applyNumberFormat="1" applyAlignment="1">
      <alignment vertical="center" shrinkToFit="1"/>
    </xf>
    <xf numFmtId="176" fontId="0" fillId="0" borderId="2" xfId="0" applyNumberFormat="1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178" fontId="0" fillId="0" borderId="3" xfId="0" applyNumberFormat="1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8" fillId="0" borderId="0" xfId="0" applyFont="1" applyAlignment="1">
      <alignment horizontal="center" vertical="center" shrinkToFit="1"/>
    </xf>
    <xf numFmtId="177" fontId="0" fillId="0" borderId="0" xfId="0" applyNumberFormat="1" applyAlignment="1">
      <alignment horizontal="right" vertical="center" shrinkToFit="1"/>
    </xf>
    <xf numFmtId="182" fontId="0" fillId="0" borderId="0" xfId="0" applyNumberFormat="1" applyAlignment="1">
      <alignment horizontal="right" vertical="center" shrinkToFit="1"/>
    </xf>
    <xf numFmtId="180" fontId="0" fillId="0" borderId="6" xfId="0" applyNumberFormat="1" applyBorder="1" applyAlignment="1">
      <alignment horizontal="right" vertical="center" shrinkToFit="1"/>
    </xf>
    <xf numFmtId="0" fontId="7" fillId="0" borderId="5" xfId="0" applyFont="1" applyBorder="1" applyAlignment="1">
      <alignment horizontal="center" vertical="center" shrinkToFit="1"/>
    </xf>
    <xf numFmtId="187" fontId="0" fillId="0" borderId="7" xfId="1" applyNumberFormat="1" applyFont="1" applyBorder="1" applyAlignment="1">
      <alignment vertical="center" shrinkToFit="1"/>
    </xf>
    <xf numFmtId="187" fontId="0" fillId="0" borderId="9" xfId="0" applyNumberFormat="1" applyBorder="1" applyAlignment="1">
      <alignment vertical="center" shrinkToFit="1"/>
    </xf>
    <xf numFmtId="0" fontId="0" fillId="0" borderId="0" xfId="0" applyAlignment="1">
      <alignment vertical="center" shrinkToFit="1"/>
      <extLst>
        <ext xmlns:xfpb="http://schemas.microsoft.com/office/spreadsheetml/2022/featurepropertybag" uri="{C7286773-470A-42A8-94C5-96B5CB345126}">
          <xfpb:xfComplement i="0"/>
        </ext>
      </extLst>
    </xf>
    <xf numFmtId="0" fontId="7" fillId="0" borderId="7" xfId="0" applyFont="1" applyBorder="1" applyAlignment="1">
      <alignment horizontal="center" vertical="center" shrinkToFit="1"/>
    </xf>
    <xf numFmtId="180" fontId="0" fillId="0" borderId="9" xfId="0" applyNumberFormat="1" applyBorder="1" applyAlignment="1">
      <alignment horizontal="right" vertical="center" shrinkToFit="1"/>
    </xf>
    <xf numFmtId="186" fontId="0" fillId="0" borderId="10" xfId="0" applyNumberFormat="1" applyBorder="1" applyAlignment="1">
      <alignment vertical="center" shrinkToFit="1"/>
    </xf>
    <xf numFmtId="0" fontId="0" fillId="0" borderId="19" xfId="0" applyBorder="1" applyAlignment="1">
      <alignment vertical="center" shrinkToFit="1"/>
    </xf>
    <xf numFmtId="187" fontId="0" fillId="0" borderId="20" xfId="0" applyNumberFormat="1" applyBorder="1" applyAlignment="1">
      <alignment vertical="center" shrinkToFit="1"/>
    </xf>
    <xf numFmtId="187" fontId="0" fillId="0" borderId="21" xfId="0" applyNumberFormat="1" applyBorder="1" applyAlignment="1">
      <alignment vertical="center" shrinkToFit="1"/>
    </xf>
    <xf numFmtId="0" fontId="10" fillId="0" borderId="22" xfId="0" applyFont="1" applyBorder="1" applyAlignment="1">
      <alignment horizontal="center" vertical="center" shrinkToFit="1"/>
    </xf>
    <xf numFmtId="186" fontId="0" fillId="0" borderId="12" xfId="0" applyNumberFormat="1" applyBorder="1" applyAlignment="1">
      <alignment vertical="center" shrinkToFit="1"/>
    </xf>
    <xf numFmtId="0" fontId="0" fillId="0" borderId="13" xfId="0" applyBorder="1" applyAlignment="1">
      <alignment vertical="center" shrinkToFit="1"/>
    </xf>
    <xf numFmtId="0" fontId="0" fillId="0" borderId="5" xfId="0" applyBorder="1" applyAlignment="1">
      <alignment horizontal="center" vertical="center" shrinkToFit="1"/>
    </xf>
    <xf numFmtId="186" fontId="0" fillId="0" borderId="12" xfId="0" quotePrefix="1" applyNumberFormat="1" applyBorder="1" applyAlignment="1">
      <alignment vertical="center" shrinkToFit="1"/>
    </xf>
    <xf numFmtId="0" fontId="0" fillId="0" borderId="8" xfId="0" applyBorder="1" applyAlignment="1">
      <alignment vertical="center" shrinkToFit="1"/>
      <extLst>
        <ext xmlns:xfpb="http://schemas.microsoft.com/office/spreadsheetml/2022/featurepropertybag" uri="{C7286773-470A-42A8-94C5-96B5CB345126}">
          <xfpb:xfComplement i="0"/>
        </ext>
      </extLst>
    </xf>
    <xf numFmtId="177" fontId="0" fillId="0" borderId="8" xfId="0" applyNumberFormat="1" applyBorder="1" applyAlignment="1">
      <alignment horizontal="right" vertical="center" shrinkToFit="1"/>
    </xf>
    <xf numFmtId="182" fontId="0" fillId="0" borderId="8" xfId="0" applyNumberFormat="1" applyBorder="1" applyAlignment="1">
      <alignment horizontal="right" vertical="center" shrinkToFit="1"/>
    </xf>
    <xf numFmtId="0" fontId="0" fillId="0" borderId="7" xfId="0" applyBorder="1" applyAlignment="1">
      <alignment horizontal="center" vertical="center" shrinkToFit="1"/>
    </xf>
    <xf numFmtId="183" fontId="0" fillId="0" borderId="1" xfId="0" applyNumberFormat="1" applyBorder="1" applyAlignment="1">
      <alignment vertical="center" shrinkToFit="1"/>
    </xf>
    <xf numFmtId="0" fontId="0" fillId="0" borderId="15" xfId="0" applyBorder="1" applyAlignment="1">
      <alignment vertical="center" shrinkToFit="1"/>
    </xf>
    <xf numFmtId="179" fontId="0" fillId="0" borderId="0" xfId="0" applyNumberFormat="1" applyAlignment="1">
      <alignment vertical="center" shrinkToFit="1"/>
    </xf>
    <xf numFmtId="176" fontId="9" fillId="0" borderId="0" xfId="0" applyNumberFormat="1" applyFont="1" applyAlignment="1">
      <alignment horizontal="center" vertical="center" shrinkToFit="1"/>
    </xf>
    <xf numFmtId="0" fontId="9" fillId="0" borderId="0" xfId="0" applyFont="1" applyAlignment="1">
      <alignment horizontal="center" vertical="center" shrinkToFit="1"/>
    </xf>
    <xf numFmtId="177" fontId="9" fillId="0" borderId="0" xfId="0" applyNumberFormat="1" applyFont="1" applyAlignment="1">
      <alignment horizontal="center" vertical="center" shrinkToFit="1"/>
    </xf>
    <xf numFmtId="178" fontId="9" fillId="0" borderId="0" xfId="0" applyNumberFormat="1" applyFont="1" applyAlignment="1">
      <alignment horizontal="center" vertical="center" shrinkToFit="1"/>
    </xf>
    <xf numFmtId="176" fontId="9" fillId="0" borderId="0" xfId="0" applyNumberFormat="1" applyFont="1" applyAlignment="1">
      <alignment vertical="center" shrinkToFit="1"/>
    </xf>
    <xf numFmtId="0" fontId="9" fillId="0" borderId="0" xfId="0" applyFont="1" applyAlignment="1">
      <alignment vertical="center" shrinkToFit="1"/>
    </xf>
    <xf numFmtId="177" fontId="9" fillId="0" borderId="0" xfId="0" applyNumberFormat="1" applyFont="1" applyAlignment="1">
      <alignment horizontal="right" vertical="center" shrinkToFit="1"/>
    </xf>
    <xf numFmtId="182" fontId="9" fillId="0" borderId="0" xfId="0" applyNumberFormat="1" applyFont="1" applyAlignment="1">
      <alignment horizontal="right" vertical="center" shrinkToFit="1"/>
    </xf>
    <xf numFmtId="180" fontId="9" fillId="0" borderId="0" xfId="0" applyNumberFormat="1" applyFont="1" applyAlignment="1">
      <alignment horizontal="right" vertical="center" shrinkToFit="1"/>
    </xf>
    <xf numFmtId="177" fontId="3" fillId="0" borderId="0" xfId="0" applyNumberFormat="1" applyFont="1" applyAlignment="1">
      <alignment horizontal="right" vertical="center" shrinkToFit="1"/>
    </xf>
    <xf numFmtId="185" fontId="8" fillId="0" borderId="6" xfId="0" applyNumberFormat="1" applyFont="1" applyBorder="1" applyAlignment="1">
      <alignment horizontal="right" vertical="center" shrinkToFit="1"/>
    </xf>
    <xf numFmtId="0" fontId="9" fillId="0" borderId="0" xfId="0" applyFont="1" applyAlignment="1">
      <alignment vertical="center" shrinkToFit="1"/>
      <extLst>
        <ext xmlns:xfpb="http://schemas.microsoft.com/office/spreadsheetml/2022/featurepropertybag" uri="{C7286773-470A-42A8-94C5-96B5CB345126}">
          <xfpb:xfComplement i="0"/>
        </ext>
      </extLst>
    </xf>
    <xf numFmtId="185" fontId="8" fillId="0" borderId="9" xfId="0" applyNumberFormat="1" applyFont="1" applyBorder="1" applyAlignment="1">
      <alignment horizontal="right" vertical="center" shrinkToFit="1"/>
    </xf>
    <xf numFmtId="188" fontId="0" fillId="0" borderId="23" xfId="0" applyNumberFormat="1" applyBorder="1" applyAlignment="1">
      <alignment vertical="center" shrinkToFit="1"/>
    </xf>
    <xf numFmtId="189" fontId="10" fillId="0" borderId="0" xfId="0" applyNumberFormat="1" applyFont="1" applyAlignment="1">
      <alignment vertical="center" shrinkToFit="1"/>
    </xf>
    <xf numFmtId="0" fontId="5" fillId="0" borderId="10" xfId="0" applyFont="1" applyBorder="1" applyAlignment="1">
      <alignment horizontal="center" vertical="center" shrinkToFit="1"/>
    </xf>
    <xf numFmtId="0" fontId="6" fillId="0" borderId="11" xfId="0" applyFont="1" applyBorder="1" applyAlignment="1">
      <alignment horizontal="center" vertical="center" shrinkToFit="1"/>
    </xf>
    <xf numFmtId="176" fontId="8" fillId="0" borderId="14" xfId="0" applyNumberFormat="1" applyFont="1" applyBorder="1" applyAlignment="1">
      <alignment vertical="center" shrinkToFit="1"/>
    </xf>
    <xf numFmtId="176" fontId="8" fillId="0" borderId="16" xfId="0" applyNumberFormat="1" applyFont="1" applyBorder="1" applyAlignment="1">
      <alignment vertical="center" shrinkToFit="1"/>
    </xf>
    <xf numFmtId="0" fontId="0" fillId="0" borderId="17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</cellXfs>
  <cellStyles count="2">
    <cellStyle name="쉼표 [0]" xfId="1" builtinId="6"/>
    <cellStyle name="표준" xfId="0" builtinId="0"/>
  </cellStyles>
  <dxfs count="3">
    <dxf>
      <numFmt numFmtId="190" formatCode="* 0"/>
    </dxf>
    <dxf>
      <numFmt numFmtId="191" formatCode="&quot;유&quot;&quot;효&quot;&quot;하&quot;&quot;지&quot;\ &quot;않&quot;&quot;음&quot;\ "/>
    </dxf>
    <dxf>
      <numFmt numFmtId="190" formatCode="* 0"/>
    </dxf>
  </dxfs>
  <tableStyles count="0" defaultTableStyle="TableStyleMedium2" defaultPivotStyle="PivotStyleLight16"/>
  <colors>
    <mruColors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theme" Target="theme/theme1.xml"/><Relationship Id="rId7" Type="http://schemas.microsoft.com/office/2022/11/relationships/FeaturePropertyBag" Target="featurePropertyBag/featurePropertyBag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10</xdr:row>
          <xdr:rowOff>0</xdr:rowOff>
        </xdr:from>
        <xdr:to>
          <xdr:col>13</xdr:col>
          <xdr:colOff>0</xdr:colOff>
          <xdr:row>12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구름 산스 400"/>
                  <a:ea typeface="구름 산스 400"/>
                </a:rPr>
                <a:t>예산 입력 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7</xdr:row>
          <xdr:rowOff>0</xdr:rowOff>
        </xdr:from>
        <xdr:to>
          <xdr:col>15</xdr:col>
          <xdr:colOff>0</xdr:colOff>
          <xdr:row>8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구름 산스 400"/>
                  <a:ea typeface="구름 산스 400"/>
                </a:rPr>
                <a:t>+1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8</xdr:row>
          <xdr:rowOff>0</xdr:rowOff>
        </xdr:from>
        <xdr:to>
          <xdr:col>15</xdr:col>
          <xdr:colOff>0</xdr:colOff>
          <xdr:row>9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구름 산스 400"/>
                  <a:ea typeface="구름 산스 400"/>
                </a:rPr>
                <a:t>-1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7</xdr:row>
          <xdr:rowOff>0</xdr:rowOff>
        </xdr:from>
        <xdr:to>
          <xdr:col>16</xdr:col>
          <xdr:colOff>0</xdr:colOff>
          <xdr:row>8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구름 산스 400"/>
                  <a:ea typeface="구름 산스 400"/>
                </a:rPr>
                <a:t>+1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8</xdr:row>
          <xdr:rowOff>0</xdr:rowOff>
        </xdr:from>
        <xdr:to>
          <xdr:col>16</xdr:col>
          <xdr:colOff>0</xdr:colOff>
          <xdr:row>9</xdr:row>
          <xdr:rowOff>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구름 산스 400"/>
                  <a:ea typeface="구름 산스 400"/>
                </a:rPr>
                <a:t>-1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10</xdr:row>
          <xdr:rowOff>0</xdr:rowOff>
        </xdr:from>
        <xdr:to>
          <xdr:col>15</xdr:col>
          <xdr:colOff>0</xdr:colOff>
          <xdr:row>11</xdr:row>
          <xdr:rowOff>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구름 산스 400"/>
                  <a:ea typeface="구름 산스 400"/>
                </a:rPr>
                <a:t>+(O7)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10</xdr:row>
          <xdr:rowOff>0</xdr:rowOff>
        </xdr:from>
        <xdr:to>
          <xdr:col>16</xdr:col>
          <xdr:colOff>0</xdr:colOff>
          <xdr:row>11</xdr:row>
          <xdr:rowOff>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구름 산스 400"/>
                  <a:ea typeface="구름 산스 400"/>
                </a:rPr>
                <a:t>+(P7)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11</xdr:row>
          <xdr:rowOff>0</xdr:rowOff>
        </xdr:from>
        <xdr:to>
          <xdr:col>15</xdr:col>
          <xdr:colOff>0</xdr:colOff>
          <xdr:row>12</xdr:row>
          <xdr:rowOff>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구름 산스 400"/>
                  <a:ea typeface="구름 산스 400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11</xdr:row>
          <xdr:rowOff>0</xdr:rowOff>
        </xdr:from>
        <xdr:to>
          <xdr:col>16</xdr:col>
          <xdr:colOff>0</xdr:colOff>
          <xdr:row>12</xdr:row>
          <xdr:rowOff>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구름 산스 400"/>
                  <a:ea typeface="구름 산스 400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015140-D216-407E-9DD3-F4DB94AE0155}">
  <sheetPr codeName="Sheet1"/>
  <dimension ref="B1:P17"/>
  <sheetViews>
    <sheetView tabSelected="1" topLeftCell="K4" zoomScale="295" zoomScaleNormal="295" workbookViewId="0">
      <selection activeCell="O10" sqref="O10"/>
    </sheetView>
  </sheetViews>
  <sheetFormatPr defaultRowHeight="15" x14ac:dyDescent="0.25"/>
  <cols>
    <col min="1" max="1" width="8.88671875" style="14"/>
    <col min="2" max="2" width="12" style="13" customWidth="1"/>
    <col min="3" max="3" width="8.88671875" style="14"/>
    <col min="4" max="4" width="8.88671875" style="15"/>
    <col min="5" max="5" width="8.88671875" style="49"/>
    <col min="6" max="7" width="9.88671875" style="14" customWidth="1"/>
    <col min="8" max="8" width="8.88671875" style="14"/>
    <col min="9" max="9" width="10.6640625" style="14" customWidth="1"/>
    <col min="10" max="10" width="12.77734375" style="14" customWidth="1"/>
    <col min="11" max="11" width="8.88671875" style="14"/>
    <col min="12" max="12" width="14.33203125" style="14" customWidth="1"/>
    <col min="13" max="13" width="3.77734375" style="14" customWidth="1"/>
    <col min="14" max="14" width="8.88671875" style="14" customWidth="1"/>
    <col min="15" max="16384" width="8.88671875" style="14"/>
  </cols>
  <sheetData>
    <row r="1" spans="2:16" x14ac:dyDescent="0.25">
      <c r="E1" s="16"/>
    </row>
    <row r="2" spans="2:16" ht="15.75" thickBot="1" x14ac:dyDescent="0.3">
      <c r="E2" s="16"/>
    </row>
    <row r="3" spans="2:16" s="22" customFormat="1" x14ac:dyDescent="0.25">
      <c r="B3" s="17" t="s">
        <v>1</v>
      </c>
      <c r="C3" s="18" t="s">
        <v>0</v>
      </c>
      <c r="D3" s="19" t="s">
        <v>2</v>
      </c>
      <c r="E3" s="20" t="s">
        <v>3</v>
      </c>
      <c r="F3" s="18" t="s">
        <v>4</v>
      </c>
      <c r="G3" s="21" t="s">
        <v>5</v>
      </c>
      <c r="I3" s="23" t="s">
        <v>6</v>
      </c>
      <c r="J3" s="8">
        <f>INDEX($B$4:$B$9,MATCH(MAX($F$4:$F$9),$F$4:$F$9,0))</f>
        <v>19000</v>
      </c>
      <c r="K3" s="24"/>
      <c r="L3" s="65" t="s">
        <v>8</v>
      </c>
      <c r="M3" s="66"/>
      <c r="O3" s="23" t="s">
        <v>16</v>
      </c>
      <c r="P3" s="21" t="s">
        <v>17</v>
      </c>
    </row>
    <row r="4" spans="2:16" ht="15.75" thickBot="1" x14ac:dyDescent="0.3">
      <c r="B4" s="9">
        <v>1200</v>
      </c>
      <c r="D4" s="25">
        <f>IF($C4,성옥표!$D4*2, 성옥표!$B4)</f>
        <v>60</v>
      </c>
      <c r="E4" s="26">
        <f t="shared" ref="E4:E9" si="0">QUOTIENT(D4,160)</f>
        <v>0</v>
      </c>
      <c r="F4" s="3">
        <f t="shared" ref="F4:F9" si="1">D4/B4-QUOTIENT(D4/B4,1)</f>
        <v>0.05</v>
      </c>
      <c r="G4" s="27">
        <f t="shared" ref="G4:G9" si="2">B4/D4</f>
        <v>20</v>
      </c>
      <c r="I4" s="28" t="s">
        <v>4</v>
      </c>
      <c r="J4" s="5">
        <f>VLOOKUP($J$3,$B$4:$G$9,5,0)</f>
        <v>0.1031578947368421</v>
      </c>
      <c r="L4" s="67" cm="1">
        <f t="array" ref="L4">$L$6*IFERROR(_xlfn.IFS($M$6="경",10000000000000000,$M$6="조",1000000000000,$M$6="억",100000000,$M$6="만",10000, $M$6="", 1), 0)+$L$7*IFERROR(_xlfn.IFS($M$7="경",10000000000000000,$M$7="조",1000000000000,$M$7="억",100000000,$M$7="만",10000, $M$7="", 1), 0)+$L$8*IFERROR(_xlfn.IFS($M$8="경",10000000000000000,$M$8="조",1000000000000,$M$8="억",100000000,$M$8="만",10000, $M$8="", 1), 0)+$L$9*IFERROR(_xlfn.IFS($M$9="경",10000000000000000,$M$9="조",1000000000000,$M$9="억",100000000,$M$9="만",10000, $M$9="", 1), 0)</f>
        <v>0</v>
      </c>
      <c r="M4" s="68"/>
      <c r="O4" s="29">
        <v>24</v>
      </c>
      <c r="P4" s="30">
        <v>12</v>
      </c>
    </row>
    <row r="5" spans="2:16" ht="15.75" thickBot="1" x14ac:dyDescent="0.3">
      <c r="B5" s="9">
        <v>5900</v>
      </c>
      <c r="C5" s="31" t="b">
        <v>0</v>
      </c>
      <c r="D5" s="25">
        <f>IF($C5,성옥표!$D5*2, 성옥표!$B5)</f>
        <v>330</v>
      </c>
      <c r="E5" s="26">
        <f t="shared" si="0"/>
        <v>2</v>
      </c>
      <c r="F5" s="3">
        <f t="shared" si="1"/>
        <v>5.5932203389830508E-2</v>
      </c>
      <c r="G5" s="27">
        <f t="shared" si="2"/>
        <v>17.878787878787879</v>
      </c>
      <c r="I5" s="32" t="s">
        <v>5</v>
      </c>
      <c r="J5" s="33">
        <f>VLOOKUP($J$3,$B$4:$G$9,6,0)</f>
        <v>9.6938775510204085</v>
      </c>
      <c r="L5" s="69"/>
      <c r="M5" s="70"/>
    </row>
    <row r="6" spans="2:16" ht="15.75" thickBot="1" x14ac:dyDescent="0.3">
      <c r="B6" s="9">
        <v>19000</v>
      </c>
      <c r="C6" s="31" t="b">
        <v>1</v>
      </c>
      <c r="D6" s="25">
        <f>IF($C6,성옥표!$D6*2, 성옥표!$B6)</f>
        <v>1960</v>
      </c>
      <c r="E6" s="26">
        <f t="shared" si="0"/>
        <v>12</v>
      </c>
      <c r="F6" s="3">
        <f t="shared" si="1"/>
        <v>0.1031578947368421</v>
      </c>
      <c r="G6" s="27">
        <f t="shared" si="2"/>
        <v>9.6938775510204085</v>
      </c>
      <c r="L6" s="34"/>
      <c r="M6" s="35" t="s">
        <v>11</v>
      </c>
      <c r="O6" s="36">
        <f>O4+$J$9</f>
        <v>24</v>
      </c>
      <c r="P6" s="37">
        <f>P4+$J$9</f>
        <v>12</v>
      </c>
    </row>
    <row r="7" spans="2:16" x14ac:dyDescent="0.25">
      <c r="B7" s="9">
        <v>37000</v>
      </c>
      <c r="C7" s="31" t="b">
        <v>0</v>
      </c>
      <c r="D7" s="25">
        <f>IF($C7,성옥표!$D7*2, 성옥표!$B7)</f>
        <v>2240</v>
      </c>
      <c r="E7" s="26">
        <f t="shared" si="0"/>
        <v>14</v>
      </c>
      <c r="F7" s="3">
        <f t="shared" si="1"/>
        <v>6.054054054054054E-2</v>
      </c>
      <c r="G7" s="27">
        <f t="shared" si="2"/>
        <v>16.517857142857142</v>
      </c>
      <c r="I7" s="23" t="s">
        <v>7</v>
      </c>
      <c r="J7" s="8">
        <f>L4</f>
        <v>0</v>
      </c>
      <c r="K7" s="38" t="s">
        <v>18</v>
      </c>
      <c r="L7" s="39"/>
      <c r="M7" s="40" t="s">
        <v>10</v>
      </c>
      <c r="O7" s="64">
        <v>0</v>
      </c>
      <c r="P7" s="64">
        <v>0</v>
      </c>
    </row>
    <row r="8" spans="2:16" ht="15.75" thickBot="1" x14ac:dyDescent="0.3">
      <c r="B8" s="9">
        <v>65000</v>
      </c>
      <c r="C8" s="31" t="b">
        <v>0</v>
      </c>
      <c r="D8" s="25">
        <f>IF($C8,성옥표!$D8*2, 성옥표!$B8)</f>
        <v>3880</v>
      </c>
      <c r="E8" s="26">
        <f t="shared" si="0"/>
        <v>24</v>
      </c>
      <c r="F8" s="3">
        <f t="shared" si="1"/>
        <v>5.969230769230769E-2</v>
      </c>
      <c r="G8" s="27">
        <f t="shared" si="2"/>
        <v>16.75257731958763</v>
      </c>
      <c r="I8" s="41" t="s">
        <v>2</v>
      </c>
      <c r="J8" s="6">
        <f>SUMPRODUCT($H$12:$H$17,$J$12:$J$17)+K8</f>
        <v>0</v>
      </c>
      <c r="K8" s="63">
        <v>0</v>
      </c>
      <c r="L8" s="42"/>
      <c r="M8" s="40" t="s">
        <v>9</v>
      </c>
    </row>
    <row r="9" spans="2:16" ht="15.75" thickBot="1" x14ac:dyDescent="0.3">
      <c r="B9" s="10">
        <v>119000</v>
      </c>
      <c r="C9" s="43" t="b">
        <v>0</v>
      </c>
      <c r="D9" s="44">
        <f>IF($C9,성옥표!$D9*2, 성옥표!$B9)</f>
        <v>8080</v>
      </c>
      <c r="E9" s="45">
        <f t="shared" si="0"/>
        <v>50</v>
      </c>
      <c r="F9" s="4">
        <f t="shared" si="1"/>
        <v>6.7899159663865546E-2</v>
      </c>
      <c r="G9" s="33">
        <f t="shared" si="2"/>
        <v>14.727722772277227</v>
      </c>
      <c r="I9" s="46" t="s">
        <v>3</v>
      </c>
      <c r="J9" s="7">
        <f>QUOTIENT($J$8,160)</f>
        <v>0</v>
      </c>
      <c r="K9" s="47">
        <f>MOD($J$8,160)</f>
        <v>0</v>
      </c>
      <c r="L9" s="12"/>
      <c r="M9" s="48"/>
    </row>
    <row r="10" spans="2:16" ht="15.75" thickBot="1" x14ac:dyDescent="0.3">
      <c r="K10" s="25"/>
    </row>
    <row r="11" spans="2:16" x14ac:dyDescent="0.25">
      <c r="B11" s="50" t="s">
        <v>1</v>
      </c>
      <c r="C11" s="51" t="s">
        <v>0</v>
      </c>
      <c r="D11" s="52" t="s">
        <v>2</v>
      </c>
      <c r="E11" s="53" t="s">
        <v>3</v>
      </c>
      <c r="F11" s="51" t="s">
        <v>4</v>
      </c>
      <c r="G11" s="51" t="s">
        <v>5</v>
      </c>
      <c r="I11" s="23" t="s">
        <v>1</v>
      </c>
      <c r="J11" s="21" t="s">
        <v>12</v>
      </c>
      <c r="K11" s="25"/>
    </row>
    <row r="12" spans="2:16" x14ac:dyDescent="0.25">
      <c r="B12" s="54">
        <v>1200</v>
      </c>
      <c r="C12" s="55"/>
      <c r="D12" s="56">
        <v>60</v>
      </c>
      <c r="E12" s="57">
        <v>0</v>
      </c>
      <c r="F12" s="11">
        <v>0.05</v>
      </c>
      <c r="G12" s="58">
        <v>20</v>
      </c>
      <c r="H12" s="59">
        <f>IF($C$9,성옥표!$D$9*2, 성옥표!$B$9)</f>
        <v>8080</v>
      </c>
      <c r="I12" s="9">
        <v>119000</v>
      </c>
      <c r="J12" s="60">
        <f>QUOTIENT($J$7, $B9)</f>
        <v>0</v>
      </c>
      <c r="K12" s="25"/>
    </row>
    <row r="13" spans="2:16" x14ac:dyDescent="0.25">
      <c r="B13" s="54">
        <v>5900</v>
      </c>
      <c r="C13" s="61" t="b">
        <v>0</v>
      </c>
      <c r="D13" s="56">
        <v>330</v>
      </c>
      <c r="E13" s="57">
        <v>2</v>
      </c>
      <c r="F13" s="11">
        <v>5.5932203389830508E-2</v>
      </c>
      <c r="G13" s="58">
        <v>17.878787878787879</v>
      </c>
      <c r="H13" s="59">
        <f>IF($C$8,성옥표!$D$8*2, 성옥표!$B$8)</f>
        <v>3880</v>
      </c>
      <c r="I13" s="9">
        <v>65000</v>
      </c>
      <c r="J13" s="60">
        <f>QUOTIENT($J$7-$J$12*$B$9, B8)</f>
        <v>0</v>
      </c>
      <c r="L13" s="2"/>
    </row>
    <row r="14" spans="2:16" x14ac:dyDescent="0.25">
      <c r="B14" s="54">
        <v>19000</v>
      </c>
      <c r="C14" s="61" t="b">
        <v>0</v>
      </c>
      <c r="D14" s="56">
        <v>980</v>
      </c>
      <c r="E14" s="57">
        <v>6</v>
      </c>
      <c r="F14" s="11">
        <v>5.1578947368421051E-2</v>
      </c>
      <c r="G14" s="58">
        <v>19.387755102040817</v>
      </c>
      <c r="H14" s="59">
        <f>IF($C$7,성옥표!$D$7*2, 성옥표!$B$7)</f>
        <v>2240</v>
      </c>
      <c r="I14" s="9">
        <v>37000</v>
      </c>
      <c r="J14" s="60">
        <f>QUOTIENT($J$7-$J$12*$B$9-$J$13*$B$8, B7)</f>
        <v>0</v>
      </c>
    </row>
    <row r="15" spans="2:16" x14ac:dyDescent="0.25">
      <c r="B15" s="54">
        <v>37000</v>
      </c>
      <c r="C15" s="61" t="b">
        <v>0</v>
      </c>
      <c r="D15" s="56">
        <v>2240</v>
      </c>
      <c r="E15" s="57">
        <v>14</v>
      </c>
      <c r="F15" s="11">
        <v>6.054054054054054E-2</v>
      </c>
      <c r="G15" s="58">
        <v>16.517857142857142</v>
      </c>
      <c r="H15" s="59">
        <f>IF($C$6,성옥표!$D$6*2, 성옥표!$B$6)</f>
        <v>1960</v>
      </c>
      <c r="I15" s="9">
        <v>19000</v>
      </c>
      <c r="J15" s="60">
        <f>QUOTIENT($J$7-$J$12*$B$9-$J$13*$B$8-$J$14*$B$7, B6)</f>
        <v>0</v>
      </c>
    </row>
    <row r="16" spans="2:16" x14ac:dyDescent="0.25">
      <c r="B16" s="54">
        <v>65000</v>
      </c>
      <c r="C16" s="61" t="b">
        <v>0</v>
      </c>
      <c r="D16" s="56">
        <v>3880</v>
      </c>
      <c r="E16" s="57">
        <v>24</v>
      </c>
      <c r="F16" s="11">
        <v>5.969230769230769E-2</v>
      </c>
      <c r="G16" s="58">
        <v>16.75257731958763</v>
      </c>
      <c r="H16" s="59">
        <f>IF($C$5,성옥표!$D$5*2, 성옥표!$B$5)</f>
        <v>330</v>
      </c>
      <c r="I16" s="9">
        <v>5900</v>
      </c>
      <c r="J16" s="60">
        <f>QUOTIENT($J$7-$J$12*$B$9-$J$13*$B$8-$J$14*$B$7-$J$15*$B$6, B5)</f>
        <v>0</v>
      </c>
    </row>
    <row r="17" spans="2:10" ht="15.75" thickBot="1" x14ac:dyDescent="0.3">
      <c r="B17" s="54">
        <v>119000</v>
      </c>
      <c r="C17" s="61" t="b">
        <v>0</v>
      </c>
      <c r="D17" s="56">
        <v>8080</v>
      </c>
      <c r="E17" s="57">
        <v>50</v>
      </c>
      <c r="F17" s="11">
        <v>6.7899159663865546E-2</v>
      </c>
      <c r="G17" s="58">
        <v>14.727722772277227</v>
      </c>
      <c r="H17" s="59">
        <f>IF($C$4,성옥표!$D$4*2, 성옥표!$B$4)</f>
        <v>60</v>
      </c>
      <c r="I17" s="10">
        <v>1200</v>
      </c>
      <c r="J17" s="62">
        <f>QUOTIENT($J$7-$J$12*$B$9-$J$13*$B$8-$J$14*$B$7-$J$15*$B$6-$J$16*$B$5, B4)</f>
        <v>0</v>
      </c>
    </row>
  </sheetData>
  <sortState xmlns:xlrd2="http://schemas.microsoft.com/office/spreadsheetml/2017/richdata2" ref="H12:H17">
    <sortCondition descending="1" ref="H12:H17"/>
  </sortState>
  <mergeCells count="3">
    <mergeCell ref="L3:M3"/>
    <mergeCell ref="L4:M4"/>
    <mergeCell ref="L5:M5"/>
  </mergeCells>
  <phoneticPr fontId="1" type="noConversion"/>
  <conditionalFormatting sqref="G4">
    <cfRule type="expression" dxfId="2" priority="3">
      <formula>QUOTIENT(G4, 1)=0</formula>
    </cfRule>
  </conditionalFormatting>
  <conditionalFormatting sqref="L4:M4">
    <cfRule type="expression" dxfId="1" priority="2">
      <formula>L4=0</formula>
    </cfRule>
  </conditionalFormatting>
  <conditionalFormatting sqref="G12">
    <cfRule type="expression" dxfId="0" priority="1">
      <formula>QUOTIENT(G12, 1)=0</formula>
    </cfRule>
  </conditionalFormatting>
  <dataValidations count="2">
    <dataValidation type="custom" allowBlank="1" showInputMessage="1" showErrorMessage="1" errorTitle="값 오류" error="숫자를 입력하세요" promptTitle="값 안내" prompt="숫자를 입력하세요_x000a_이것은 현재 성옥 값입니다" sqref="K8" xr:uid="{1BA8BFFE-DF2B-4784-8BD0-C7336CD745BB}">
      <formula1>NOT(ISERROR(K8+1))</formula1>
    </dataValidation>
    <dataValidation type="custom" allowBlank="1" showInputMessage="1" showErrorMessage="1" errorTitle="값 오류" error="숫자를 입력하세요" sqref="L6:L9" xr:uid="{0CC525DB-7390-4A9F-9D50-5FC71DF7A751}">
      <formula1>NOT(ISERROR(L6+1))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초기화">
                <anchor moveWithCells="1" sizeWithCells="1">
                  <from>
                    <xdr:col>11</xdr:col>
                    <xdr:colOff>0</xdr:colOff>
                    <xdr:row>10</xdr:row>
                    <xdr:rowOff>0</xdr:rowOff>
                  </from>
                  <to>
                    <xdr:col>13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캐릭터1추가">
                <anchor moveWithCells="1" sizeWithCells="1">
                  <from>
                    <xdr:col>14</xdr:col>
                    <xdr:colOff>0</xdr:colOff>
                    <xdr:row>7</xdr:row>
                    <xdr:rowOff>0</xdr:rowOff>
                  </from>
                  <to>
                    <xdr:col>15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캐릭터1감소">
                <anchor moveWithCells="1" sizeWithCells="1">
                  <from>
                    <xdr:col>14</xdr:col>
                    <xdr:colOff>0</xdr:colOff>
                    <xdr:row>8</xdr:row>
                    <xdr:rowOff>0</xdr:rowOff>
                  </from>
                  <to>
                    <xdr:col>15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Button 6">
              <controlPr defaultSize="0" print="0" autoFill="0" autoPict="0" macro="[0]!광추1추가">
                <anchor moveWithCells="1" sizeWithCells="1">
                  <from>
                    <xdr:col>15</xdr:col>
                    <xdr:colOff>0</xdr:colOff>
                    <xdr:row>7</xdr:row>
                    <xdr:rowOff>0</xdr:rowOff>
                  </from>
                  <to>
                    <xdr:col>16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Button 7">
              <controlPr defaultSize="0" print="0" autoFill="0" autoPict="0" macro="[0]!광추1감소">
                <anchor moveWithCells="1" sizeWithCells="1">
                  <from>
                    <xdr:col>15</xdr:col>
                    <xdr:colOff>0</xdr:colOff>
                    <xdr:row>8</xdr:row>
                    <xdr:rowOff>0</xdr:rowOff>
                  </from>
                  <to>
                    <xdr:col>16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Button 8">
              <controlPr defaultSize="0" print="0" autoFill="0" autoPict="0" macro="[0]!캐릭터추가">
                <anchor moveWithCells="1" sizeWithCells="1">
                  <from>
                    <xdr:col>14</xdr:col>
                    <xdr:colOff>0</xdr:colOff>
                    <xdr:row>10</xdr:row>
                    <xdr:rowOff>0</xdr:rowOff>
                  </from>
                  <to>
                    <xdr:col>15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Button 9">
              <controlPr defaultSize="0" print="0" autoFill="0" autoPict="0" macro="[0]!광추추가">
                <anchor moveWithCells="1" sizeWithCells="1">
                  <from>
                    <xdr:col>15</xdr:col>
                    <xdr:colOff>0</xdr:colOff>
                    <xdr:row>10</xdr:row>
                    <xdr:rowOff>0</xdr:rowOff>
                  </from>
                  <to>
                    <xdr:col>16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0" name="Button 10">
              <controlPr defaultSize="0" print="0" autoFill="0" autoPict="0" macro="[0]!캐릭터초기화">
                <anchor moveWithCells="1" sizeWithCells="1">
                  <from>
                    <xdr:col>14</xdr:col>
                    <xdr:colOff>0</xdr:colOff>
                    <xdr:row>11</xdr:row>
                    <xdr:rowOff>0</xdr:rowOff>
                  </from>
                  <to>
                    <xdr:col>15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1" name="Button 11">
              <controlPr defaultSize="0" print="0" autoFill="0" autoPict="0" macro="[0]!광추초기화">
                <anchor moveWithCells="1" sizeWithCells="1">
                  <from>
                    <xdr:col>15</xdr:col>
                    <xdr:colOff>0</xdr:colOff>
                    <xdr:row>11</xdr:row>
                    <xdr:rowOff>0</xdr:rowOff>
                  </from>
                  <to>
                    <xdr:col>16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9B3201-8621-40A2-8EFC-7D6389DCF5EB}">
  <sheetPr codeName="Sheet2"/>
  <dimension ref="A3:D9"/>
  <sheetViews>
    <sheetView workbookViewId="0">
      <selection activeCell="D3" sqref="D3"/>
    </sheetView>
  </sheetViews>
  <sheetFormatPr defaultRowHeight="15" x14ac:dyDescent="0.25"/>
  <cols>
    <col min="1" max="1" width="7.21875" customWidth="1"/>
  </cols>
  <sheetData>
    <row r="3" spans="1:4" x14ac:dyDescent="0.25">
      <c r="B3" t="s">
        <v>13</v>
      </c>
      <c r="C3" t="s">
        <v>14</v>
      </c>
      <c r="D3" t="s">
        <v>15</v>
      </c>
    </row>
    <row r="4" spans="1:4" x14ac:dyDescent="0.25">
      <c r="A4" s="1">
        <v>1200</v>
      </c>
      <c r="B4">
        <f>D4+C4</f>
        <v>60</v>
      </c>
      <c r="D4">
        <v>60</v>
      </c>
    </row>
    <row r="5" spans="1:4" x14ac:dyDescent="0.25">
      <c r="A5" s="1">
        <v>5900</v>
      </c>
      <c r="B5">
        <f t="shared" ref="B5:B9" si="0">D5+C5</f>
        <v>330</v>
      </c>
      <c r="C5">
        <v>30</v>
      </c>
      <c r="D5">
        <v>300</v>
      </c>
    </row>
    <row r="6" spans="1:4" x14ac:dyDescent="0.25">
      <c r="A6" s="1">
        <v>19000</v>
      </c>
      <c r="B6">
        <f t="shared" si="0"/>
        <v>980</v>
      </c>
      <c r="D6">
        <v>980</v>
      </c>
    </row>
    <row r="7" spans="1:4" x14ac:dyDescent="0.25">
      <c r="A7" s="1">
        <v>37000</v>
      </c>
      <c r="B7">
        <f t="shared" si="0"/>
        <v>2240</v>
      </c>
      <c r="C7">
        <v>260</v>
      </c>
      <c r="D7">
        <v>1980</v>
      </c>
    </row>
    <row r="8" spans="1:4" x14ac:dyDescent="0.25">
      <c r="A8" s="1">
        <v>65000</v>
      </c>
      <c r="B8">
        <f t="shared" si="0"/>
        <v>3880</v>
      </c>
      <c r="C8">
        <v>600</v>
      </c>
      <c r="D8">
        <v>3280</v>
      </c>
    </row>
    <row r="9" spans="1:4" x14ac:dyDescent="0.25">
      <c r="A9" s="1">
        <v>119000</v>
      </c>
      <c r="B9">
        <f t="shared" si="0"/>
        <v>8080</v>
      </c>
      <c r="C9">
        <v>1600</v>
      </c>
      <c r="D9">
        <v>6480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Sheet1</vt:lpstr>
      <vt:lpstr>성옥표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민재 김</dc:creator>
  <cp:lastModifiedBy>민재 김</cp:lastModifiedBy>
  <dcterms:created xsi:type="dcterms:W3CDTF">2026-01-19T03:04:59Z</dcterms:created>
  <dcterms:modified xsi:type="dcterms:W3CDTF">2026-01-19T11:59:44Z</dcterms:modified>
</cp:coreProperties>
</file>